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Z:\Movies\HW2026\invoice\"/>
    </mc:Choice>
  </mc:AlternateContent>
  <xr:revisionPtr revIDLastSave="0" documentId="13_ncr:1_{57AEFCD8-5CBD-4494-850D-98C78ECE19A1}" xr6:coauthVersionLast="47" xr6:coauthVersionMax="47" xr10:uidLastSave="{00000000-0000-0000-0000-000000000000}"/>
  <bookViews>
    <workbookView xWindow="8880" yWindow="8050" windowWidth="21600" windowHeight="11720" xr2:uid="{00000000-000D-0000-FFFF-FFFF00000000}"/>
  </bookViews>
  <sheets>
    <sheet name="支出流水表" sheetId="2" r:id="rId1"/>
    <sheet name="分类统计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8" i="2" l="1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B4" i="3"/>
  <c r="D3" i="3"/>
  <c r="B3" i="3"/>
  <c r="D2" i="3"/>
  <c r="B2" i="3"/>
  <c r="D24" i="3" l="1"/>
  <c r="B12" i="3"/>
</calcChain>
</file>

<file path=xl/sharedStrings.xml><?xml version="1.0" encoding="utf-8"?>
<sst xmlns="http://schemas.openxmlformats.org/spreadsheetml/2006/main" count="197" uniqueCount="52">
  <si>
    <t>报销批次</t>
  </si>
  <si>
    <t>序号</t>
  </si>
  <si>
    <t>购买日期</t>
  </si>
  <si>
    <t>支出内容</t>
  </si>
  <si>
    <t>项目类别</t>
  </si>
  <si>
    <t>支出类别</t>
  </si>
  <si>
    <t>数量</t>
  </si>
  <si>
    <t>单价</t>
  </si>
  <si>
    <t>实际支出金额</t>
  </si>
  <si>
    <t>发票号码</t>
  </si>
  <si>
    <t>备注</t>
  </si>
  <si>
    <t>差旅</t>
  </si>
  <si>
    <t>市内交通费</t>
  </si>
  <si>
    <t>汤小圆</t>
  </si>
  <si>
    <t>xxxxxxxxxxx</t>
  </si>
  <si>
    <t>合计</t>
  </si>
  <si>
    <t>步兵机器人</t>
  </si>
  <si>
    <t>车&amp;铣</t>
  </si>
  <si>
    <t>工程机器人</t>
  </si>
  <si>
    <t>钣金</t>
  </si>
  <si>
    <t>英雄机器人</t>
  </si>
  <si>
    <t>2D雕刻</t>
  </si>
  <si>
    <t>哨兵机器人</t>
  </si>
  <si>
    <t>3D打印</t>
  </si>
  <si>
    <t>空中机器人</t>
  </si>
  <si>
    <t>型材焊接</t>
  </si>
  <si>
    <t>多机器人共用</t>
  </si>
  <si>
    <t>其他机械定制件</t>
  </si>
  <si>
    <t>飞镖</t>
  </si>
  <si>
    <t>机械标准件</t>
  </si>
  <si>
    <t>雷达</t>
  </si>
  <si>
    <t>机械工具</t>
  </si>
  <si>
    <t>维修费</t>
  </si>
  <si>
    <t>其他（运营等）</t>
  </si>
  <si>
    <t>电控元件</t>
  </si>
  <si>
    <t>PCB加工</t>
  </si>
  <si>
    <t>电控线材</t>
  </si>
  <si>
    <t>电控工具</t>
  </si>
  <si>
    <t>视觉物资</t>
  </si>
  <si>
    <t>非官方成品模块</t>
  </si>
  <si>
    <t>官方成品模块</t>
  </si>
  <si>
    <t>运营宣传</t>
  </si>
  <si>
    <t>实验室资产</t>
  </si>
  <si>
    <t>差旅费</t>
  </si>
  <si>
    <t>邮寄、物流费</t>
  </si>
  <si>
    <t>其他</t>
  </si>
  <si>
    <t>发票金额</t>
    <phoneticPr fontId="3" type="noConversion"/>
  </si>
  <si>
    <t>姓名</t>
    <phoneticPr fontId="3" type="noConversion"/>
  </si>
  <si>
    <t>支付宝账号</t>
    <phoneticPr fontId="3" type="noConversion"/>
  </si>
  <si>
    <t>n</t>
    <phoneticPr fontId="3" type="noConversion"/>
  </si>
  <si>
    <t>是否辰景发票</t>
    <phoneticPr fontId="3" type="noConversion"/>
  </si>
  <si>
    <t>项目类别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</si>
</sst>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_ "/>
    <numFmt numFmtId="166" formatCode="0.00_ "/>
    <numFmt numFmtId="167" formatCode="m/d;@"/>
  </numFmts>
  <fonts count="8">
    <font>
      <sz val="10"/>
      <color theme="1"/>
      <name val="Calibri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9"/>
      <name val="Calibri"/>
      <charset val="134"/>
      <scheme val="minor"/>
    </font>
    <font>
      <sz val="11"/>
      <color theme="1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name val="宋体"/>
      <family val="3"/>
      <charset val="134"/>
    </font>
    <font>
      <sz val="10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DEB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3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vertical="center"/>
    </xf>
    <xf numFmtId="167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35">
    <open main="191" threadCnt="1"/>
    <sheetInfos>
      <sheetInfo cellCmpFml="1" sheetStid="2">
        <open main="2" threadCnt="1"/>
      </sheetInfo>
      <sheetInfo cellCmpFml="34" sheetStid="3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www.wps.cn/officeDocument/2023/relationships/woinfos" Target="woinfos.xml"/><Relationship Id="rId4" Type="http://schemas.openxmlformats.org/officeDocument/2006/relationships/styles" Target="style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70" zoomScaleNormal="70" workbookViewId="0">
      <selection activeCell="L14" sqref="L14"/>
    </sheetView>
  </sheetViews>
  <sheetFormatPr defaultColWidth="14" defaultRowHeight="14"/>
  <cols>
    <col min="1" max="1" width="11" style="4" customWidth="1"/>
    <col min="2" max="2" width="6" style="4" customWidth="1"/>
    <col min="3" max="3" width="11.3984375" style="32" customWidth="1"/>
    <col min="4" max="4" width="13.796875" style="4" customWidth="1"/>
    <col min="5" max="5" width="15.09765625" style="27" customWidth="1"/>
    <col min="6" max="6" width="18.796875" style="27" customWidth="1"/>
    <col min="7" max="7" width="7.296875" style="4" customWidth="1"/>
    <col min="8" max="8" width="13.796875" style="4" customWidth="1"/>
    <col min="9" max="9" width="30.796875" style="27" customWidth="1"/>
    <col min="10" max="10" width="13.796875" style="4" customWidth="1"/>
    <col min="11" max="11" width="32.296875" style="27" customWidth="1"/>
    <col min="12" max="12" width="30.796875" style="4" customWidth="1"/>
    <col min="13" max="13" width="14" style="10"/>
    <col min="14" max="14" width="13.796875" style="4" customWidth="1"/>
    <col min="15" max="15" width="16.09765625" style="4" customWidth="1"/>
    <col min="16" max="19" width="10" style="4" customWidth="1"/>
    <col min="20" max="16384" width="14" style="4"/>
  </cols>
  <sheetData>
    <row r="1" spans="1:16" ht="33.9" customHeight="1">
      <c r="A1" s="5" t="s">
        <v>0</v>
      </c>
      <c r="B1" s="5" t="s">
        <v>1</v>
      </c>
      <c r="C1" s="28" t="s">
        <v>2</v>
      </c>
      <c r="D1" s="5" t="s">
        <v>3</v>
      </c>
      <c r="E1" s="9" t="s">
        <v>51</v>
      </c>
      <c r="F1" s="5" t="s">
        <v>5</v>
      </c>
      <c r="G1" s="5" t="s">
        <v>6</v>
      </c>
      <c r="H1" s="5" t="s">
        <v>7</v>
      </c>
      <c r="I1" s="8" t="s">
        <v>46</v>
      </c>
      <c r="J1" s="6" t="s">
        <v>8</v>
      </c>
      <c r="K1" s="6" t="s">
        <v>9</v>
      </c>
      <c r="L1" s="6" t="s">
        <v>10</v>
      </c>
      <c r="M1" s="8" t="s">
        <v>50</v>
      </c>
      <c r="N1" s="9" t="s">
        <v>47</v>
      </c>
      <c r="O1" s="9" t="s">
        <v>48</v>
      </c>
    </row>
    <row r="2" spans="1:16" ht="15.9" customHeight="1">
      <c r="A2" s="11" t="s">
        <v>49</v>
      </c>
      <c r="B2" s="12">
        <v>1</v>
      </c>
      <c r="C2" s="29"/>
      <c r="D2" s="13"/>
      <c r="E2" s="12" t="s">
        <v>16</v>
      </c>
      <c r="F2" s="12" t="s">
        <v>29</v>
      </c>
      <c r="G2" s="14"/>
      <c r="H2" s="15"/>
      <c r="I2" s="12">
        <v>625</v>
      </c>
      <c r="J2" s="12"/>
      <c r="K2" s="13" t="str">
        <f>"26952000000329742856"</f>
        <v>26952000000329742856</v>
      </c>
      <c r="L2" s="12"/>
      <c r="M2" s="16"/>
      <c r="N2" s="17" t="s">
        <v>13</v>
      </c>
      <c r="O2" s="11" t="s">
        <v>14</v>
      </c>
      <c r="P2" s="7"/>
    </row>
    <row r="3" spans="1:16" ht="15.9" customHeight="1">
      <c r="A3" s="11" t="s">
        <v>49</v>
      </c>
      <c r="B3" s="12">
        <v>2</v>
      </c>
      <c r="C3" s="29">
        <v>46047</v>
      </c>
      <c r="D3" s="13"/>
      <c r="E3" s="18" t="s">
        <v>16</v>
      </c>
      <c r="F3" s="12" t="s">
        <v>29</v>
      </c>
      <c r="G3" s="14"/>
      <c r="H3" s="15"/>
      <c r="I3" s="12">
        <v>83</v>
      </c>
      <c r="J3" s="12"/>
      <c r="K3" s="13" t="str">
        <f>"26952000000514448236"</f>
        <v>26952000000514448236</v>
      </c>
      <c r="L3" s="12"/>
      <c r="M3" s="16"/>
      <c r="N3" s="17" t="s">
        <v>13</v>
      </c>
      <c r="O3" s="11" t="s">
        <v>14</v>
      </c>
      <c r="P3" s="7"/>
    </row>
    <row r="4" spans="1:16" ht="13.5" customHeight="1">
      <c r="A4" s="11" t="s">
        <v>49</v>
      </c>
      <c r="B4" s="12">
        <v>3</v>
      </c>
      <c r="C4" s="30"/>
      <c r="D4" s="13"/>
      <c r="E4" s="19" t="s">
        <v>16</v>
      </c>
      <c r="F4" s="20" t="s">
        <v>29</v>
      </c>
      <c r="G4" s="21"/>
      <c r="H4" s="22"/>
      <c r="I4" s="20">
        <v>140</v>
      </c>
      <c r="J4" s="20"/>
      <c r="K4" s="23" t="str">
        <f>"26342000001346323546"</f>
        <v>26342000001346323546</v>
      </c>
      <c r="L4" s="20"/>
      <c r="M4" s="16"/>
      <c r="N4" s="17" t="s">
        <v>13</v>
      </c>
      <c r="O4" s="11" t="s">
        <v>14</v>
      </c>
    </row>
    <row r="5" spans="1:16" ht="13.5" customHeight="1">
      <c r="A5" s="11" t="s">
        <v>49</v>
      </c>
      <c r="B5" s="12">
        <v>4</v>
      </c>
      <c r="C5" s="30"/>
      <c r="D5" s="13"/>
      <c r="E5" s="19" t="s">
        <v>16</v>
      </c>
      <c r="F5" s="20" t="s">
        <v>29</v>
      </c>
      <c r="G5" s="21"/>
      <c r="H5" s="22"/>
      <c r="I5" s="20">
        <v>35</v>
      </c>
      <c r="J5" s="24"/>
      <c r="K5" s="23" t="str">
        <f>"26952000001840012831"</f>
        <v>26952000001840012831</v>
      </c>
      <c r="L5" s="20"/>
      <c r="M5" s="16"/>
      <c r="N5" s="17" t="s">
        <v>13</v>
      </c>
      <c r="O5" s="11" t="s">
        <v>14</v>
      </c>
    </row>
    <row r="6" spans="1:16" ht="13.5" customHeight="1">
      <c r="A6" s="11" t="s">
        <v>49</v>
      </c>
      <c r="B6" s="12">
        <v>5</v>
      </c>
      <c r="C6" s="30"/>
      <c r="D6" s="13"/>
      <c r="E6" s="19" t="s">
        <v>16</v>
      </c>
      <c r="F6" s="20" t="s">
        <v>29</v>
      </c>
      <c r="G6" s="21"/>
      <c r="H6" s="22"/>
      <c r="I6" s="20">
        <v>122.36</v>
      </c>
      <c r="J6" s="24"/>
      <c r="K6" s="23" t="str">
        <f>"26132000001392424741"</f>
        <v>26132000001392424741</v>
      </c>
      <c r="L6" s="20"/>
      <c r="M6" s="16"/>
      <c r="N6" s="17" t="s">
        <v>13</v>
      </c>
      <c r="O6" s="11" t="s">
        <v>14</v>
      </c>
    </row>
    <row r="7" spans="1:16" ht="13.5" customHeight="1">
      <c r="A7" s="11" t="s">
        <v>49</v>
      </c>
      <c r="B7" s="12">
        <v>6</v>
      </c>
      <c r="C7" s="30"/>
      <c r="D7" s="13"/>
      <c r="E7" s="19" t="s">
        <v>16</v>
      </c>
      <c r="F7" s="20" t="s">
        <v>29</v>
      </c>
      <c r="G7" s="21"/>
      <c r="H7" s="22"/>
      <c r="I7" s="20">
        <v>25.2</v>
      </c>
      <c r="J7" s="24"/>
      <c r="K7" s="23" t="str">
        <f>"26442000005155989331"</f>
        <v>26442000005155989331</v>
      </c>
      <c r="L7" s="20"/>
      <c r="M7" s="16"/>
      <c r="N7" s="17" t="s">
        <v>13</v>
      </c>
      <c r="O7" s="11" t="s">
        <v>14</v>
      </c>
    </row>
    <row r="8" spans="1:16" ht="13.5" customHeight="1">
      <c r="A8" s="11" t="s">
        <v>49</v>
      </c>
      <c r="B8" s="12">
        <v>7</v>
      </c>
      <c r="C8" s="30"/>
      <c r="D8" s="13"/>
      <c r="E8" s="19" t="s">
        <v>16</v>
      </c>
      <c r="F8" s="20" t="s">
        <v>29</v>
      </c>
      <c r="G8" s="21"/>
      <c r="H8" s="22"/>
      <c r="I8" s="20">
        <v>20.11</v>
      </c>
      <c r="J8" s="24"/>
      <c r="K8" s="23" t="str">
        <f>"26342000001943349616"</f>
        <v>26342000001943349616</v>
      </c>
      <c r="L8" s="20"/>
      <c r="M8" s="16"/>
      <c r="N8" s="17" t="s">
        <v>13</v>
      </c>
      <c r="O8" s="11" t="s">
        <v>14</v>
      </c>
    </row>
    <row r="9" spans="1:16" ht="13.5" customHeight="1">
      <c r="A9" s="11" t="s">
        <v>49</v>
      </c>
      <c r="B9" s="12">
        <v>8</v>
      </c>
      <c r="C9" s="30"/>
      <c r="D9" s="13"/>
      <c r="E9" s="19" t="s">
        <v>16</v>
      </c>
      <c r="F9" s="20" t="s">
        <v>29</v>
      </c>
      <c r="G9" s="21"/>
      <c r="H9" s="22"/>
      <c r="I9" s="20">
        <v>900</v>
      </c>
      <c r="J9" s="24"/>
      <c r="K9" s="23" t="str">
        <f>"26342000001946902186"</f>
        <v>26342000001946902186</v>
      </c>
      <c r="L9" s="20"/>
      <c r="M9" s="16"/>
      <c r="N9" s="17" t="s">
        <v>13</v>
      </c>
      <c r="O9" s="11" t="s">
        <v>14</v>
      </c>
    </row>
    <row r="10" spans="1:16" ht="13.5" customHeight="1">
      <c r="A10" s="11" t="s">
        <v>49</v>
      </c>
      <c r="B10" s="12">
        <v>9</v>
      </c>
      <c r="C10" s="30">
        <v>46158</v>
      </c>
      <c r="D10" s="13"/>
      <c r="E10" s="19" t="s">
        <v>16</v>
      </c>
      <c r="F10" s="20" t="s">
        <v>29</v>
      </c>
      <c r="G10" s="21"/>
      <c r="H10" s="22"/>
      <c r="I10" s="20">
        <v>83.1</v>
      </c>
      <c r="J10" s="24"/>
      <c r="K10" s="23" t="str">
        <f>"26312000003921089566"</f>
        <v>26312000003921089566</v>
      </c>
      <c r="L10" s="20"/>
      <c r="M10" s="16"/>
      <c r="N10" s="17" t="s">
        <v>13</v>
      </c>
      <c r="O10" s="11" t="s">
        <v>14</v>
      </c>
    </row>
    <row r="11" spans="1:16" ht="13.5" customHeight="1">
      <c r="A11" s="11" t="s">
        <v>49</v>
      </c>
      <c r="B11" s="12">
        <v>10</v>
      </c>
      <c r="C11" s="30"/>
      <c r="D11" s="13"/>
      <c r="E11" s="19" t="s">
        <v>16</v>
      </c>
      <c r="F11" s="20" t="s">
        <v>29</v>
      </c>
      <c r="G11" s="21"/>
      <c r="H11" s="22"/>
      <c r="I11" s="20">
        <v>35</v>
      </c>
      <c r="J11" s="24"/>
      <c r="K11" s="23" t="str">
        <f>"26952000002606165071"</f>
        <v>26952000002606165071</v>
      </c>
      <c r="L11" s="20"/>
      <c r="M11" s="16"/>
      <c r="N11" s="17" t="s">
        <v>13</v>
      </c>
      <c r="O11" s="11" t="s">
        <v>14</v>
      </c>
    </row>
    <row r="12" spans="1:16" ht="13.5" customHeight="1">
      <c r="A12" s="11" t="s">
        <v>49</v>
      </c>
      <c r="B12" s="12">
        <v>11</v>
      </c>
      <c r="C12" s="30"/>
      <c r="D12" s="13"/>
      <c r="E12" s="19" t="s">
        <v>16</v>
      </c>
      <c r="F12" s="20" t="s">
        <v>29</v>
      </c>
      <c r="G12" s="21"/>
      <c r="H12" s="22"/>
      <c r="I12" s="20">
        <v>8.92</v>
      </c>
      <c r="J12" s="24"/>
      <c r="K12" s="23" t="str">
        <f>"26322000005000205211"</f>
        <v>26322000005000205211</v>
      </c>
      <c r="L12" s="20"/>
      <c r="M12" s="16"/>
      <c r="N12" s="17" t="s">
        <v>13</v>
      </c>
      <c r="O12" s="11" t="s">
        <v>14</v>
      </c>
    </row>
    <row r="13" spans="1:16" ht="13.5" customHeight="1">
      <c r="A13" s="11" t="s">
        <v>49</v>
      </c>
      <c r="B13" s="12">
        <v>12</v>
      </c>
      <c r="C13" s="30"/>
      <c r="D13" s="13"/>
      <c r="E13" s="19" t="s">
        <v>16</v>
      </c>
      <c r="F13" s="20" t="s">
        <v>29</v>
      </c>
      <c r="G13" s="21"/>
      <c r="H13" s="22"/>
      <c r="I13" s="20">
        <v>143.19999999999999</v>
      </c>
      <c r="J13" s="24"/>
      <c r="K13" s="23" t="str">
        <f>"26952000002615721421"</f>
        <v>26952000002615721421</v>
      </c>
      <c r="L13" s="20"/>
      <c r="M13" s="16"/>
      <c r="N13" s="17" t="s">
        <v>13</v>
      </c>
      <c r="O13" s="11" t="s">
        <v>14</v>
      </c>
    </row>
    <row r="14" spans="1:16" ht="13.5" customHeight="1">
      <c r="A14" s="11" t="s">
        <v>49</v>
      </c>
      <c r="B14" s="12">
        <v>13</v>
      </c>
      <c r="C14" s="30"/>
      <c r="D14" s="13"/>
      <c r="E14" s="19" t="s">
        <v>16</v>
      </c>
      <c r="F14" s="20" t="s">
        <v>29</v>
      </c>
      <c r="G14" s="21"/>
      <c r="H14" s="22"/>
      <c r="I14" s="20">
        <v>176</v>
      </c>
      <c r="J14" s="24"/>
      <c r="K14" s="23" t="str">
        <f>"26332000005317959991"</f>
        <v>26332000005317959991</v>
      </c>
      <c r="L14" s="20"/>
      <c r="M14" s="16"/>
      <c r="N14" s="17" t="s">
        <v>13</v>
      </c>
      <c r="O14" s="11" t="s">
        <v>14</v>
      </c>
    </row>
    <row r="15" spans="1:16" ht="13.5" customHeight="1">
      <c r="A15" s="11" t="s">
        <v>49</v>
      </c>
      <c r="B15" s="12">
        <v>14</v>
      </c>
      <c r="C15" s="30">
        <v>46144</v>
      </c>
      <c r="D15" s="13"/>
      <c r="E15" s="19" t="s">
        <v>16</v>
      </c>
      <c r="F15" s="20" t="s">
        <v>29</v>
      </c>
      <c r="G15" s="21"/>
      <c r="H15" s="22"/>
      <c r="I15" s="20">
        <v>84</v>
      </c>
      <c r="J15" s="24"/>
      <c r="K15" s="23" t="str">
        <f>"26322000005034447061"</f>
        <v>26322000005034447061</v>
      </c>
      <c r="L15" s="20"/>
      <c r="M15" s="16"/>
      <c r="N15" s="17" t="s">
        <v>13</v>
      </c>
      <c r="O15" s="11" t="s">
        <v>14</v>
      </c>
    </row>
    <row r="16" spans="1:16" ht="13.5" customHeight="1">
      <c r="A16" s="11" t="s">
        <v>49</v>
      </c>
      <c r="B16" s="12">
        <v>15</v>
      </c>
      <c r="C16" s="30"/>
      <c r="D16" s="13"/>
      <c r="E16" s="19" t="s">
        <v>16</v>
      </c>
      <c r="F16" s="20" t="s">
        <v>29</v>
      </c>
      <c r="G16" s="21"/>
      <c r="H16" s="22"/>
      <c r="I16" s="20">
        <v>55.7</v>
      </c>
      <c r="J16" s="24"/>
      <c r="K16" s="23" t="str">
        <f>"26372000002993965696"</f>
        <v>26372000002993965696</v>
      </c>
      <c r="L16" s="20"/>
      <c r="M16" s="16"/>
      <c r="N16" s="17" t="s">
        <v>13</v>
      </c>
      <c r="O16" s="11" t="s">
        <v>14</v>
      </c>
    </row>
    <row r="17" spans="1:15" ht="13.5" customHeight="1">
      <c r="A17" s="11" t="s">
        <v>49</v>
      </c>
      <c r="B17" s="12">
        <v>16</v>
      </c>
      <c r="C17" s="30"/>
      <c r="D17" s="13"/>
      <c r="E17" s="19" t="s">
        <v>16</v>
      </c>
      <c r="F17" s="20" t="s">
        <v>29</v>
      </c>
      <c r="G17" s="21"/>
      <c r="H17" s="22"/>
      <c r="I17" s="20">
        <v>86</v>
      </c>
      <c r="J17" s="24"/>
      <c r="K17" s="23" t="str">
        <f>"26322000005092363651"</f>
        <v>26322000005092363651</v>
      </c>
      <c r="L17" s="20"/>
      <c r="M17" s="16"/>
      <c r="N17" s="17" t="s">
        <v>13</v>
      </c>
      <c r="O17" s="11" t="s">
        <v>14</v>
      </c>
    </row>
    <row r="18" spans="1:15" ht="13.5" customHeight="1">
      <c r="A18" s="11" t="s">
        <v>49</v>
      </c>
      <c r="B18" s="12">
        <v>17</v>
      </c>
      <c r="C18" s="30"/>
      <c r="D18" s="13"/>
      <c r="E18" s="19" t="s">
        <v>16</v>
      </c>
      <c r="F18" s="20" t="s">
        <v>29</v>
      </c>
      <c r="G18" s="21"/>
      <c r="H18" s="22"/>
      <c r="I18" s="20">
        <v>36.94</v>
      </c>
      <c r="J18" s="24"/>
      <c r="K18" s="23" t="str">
        <f>"26342000002002016881"</f>
        <v>26342000002002016881</v>
      </c>
      <c r="L18" s="20"/>
      <c r="M18" s="16"/>
      <c r="N18" s="17" t="s">
        <v>13</v>
      </c>
      <c r="O18" s="11" t="s">
        <v>14</v>
      </c>
    </row>
    <row r="19" spans="1:15" ht="13.5" customHeight="1">
      <c r="A19" s="11" t="s">
        <v>49</v>
      </c>
      <c r="B19" s="12">
        <v>18</v>
      </c>
      <c r="C19" s="30">
        <v>46170</v>
      </c>
      <c r="D19" s="13"/>
      <c r="E19" s="19" t="s">
        <v>16</v>
      </c>
      <c r="F19" s="20" t="s">
        <v>29</v>
      </c>
      <c r="G19" s="21"/>
      <c r="H19" s="22"/>
      <c r="I19" s="20">
        <v>13.64</v>
      </c>
      <c r="J19" s="24"/>
      <c r="K19" s="23" t="str">
        <f>"26342000002001430366"</f>
        <v>26342000002001430366</v>
      </c>
      <c r="L19" s="20"/>
      <c r="M19" s="16"/>
      <c r="N19" s="17" t="s">
        <v>13</v>
      </c>
      <c r="O19" s="11" t="s">
        <v>14</v>
      </c>
    </row>
    <row r="20" spans="1:15">
      <c r="A20" s="11" t="s">
        <v>49</v>
      </c>
      <c r="B20" s="12">
        <v>19</v>
      </c>
      <c r="C20" s="30"/>
      <c r="D20" s="13"/>
      <c r="E20" s="19" t="s">
        <v>16</v>
      </c>
      <c r="F20" s="20" t="s">
        <v>29</v>
      </c>
      <c r="G20" s="21"/>
      <c r="H20" s="22"/>
      <c r="I20" s="20">
        <v>20.61</v>
      </c>
      <c r="J20" s="24"/>
      <c r="K20" s="23" t="str">
        <f>"26342000002001825046"</f>
        <v>26342000002001825046</v>
      </c>
      <c r="L20" s="20"/>
      <c r="M20" s="16"/>
      <c r="N20" s="17" t="s">
        <v>13</v>
      </c>
      <c r="O20" s="11" t="s">
        <v>14</v>
      </c>
    </row>
    <row r="21" spans="1:15">
      <c r="A21" s="11" t="s">
        <v>49</v>
      </c>
      <c r="B21" s="12">
        <v>20</v>
      </c>
      <c r="C21" s="30"/>
      <c r="D21" s="13"/>
      <c r="E21" s="19" t="s">
        <v>16</v>
      </c>
      <c r="F21" s="20" t="s">
        <v>29</v>
      </c>
      <c r="G21" s="21"/>
      <c r="H21" s="22"/>
      <c r="I21" s="20">
        <v>30.18</v>
      </c>
      <c r="J21" s="24"/>
      <c r="K21" s="23" t="str">
        <f>"26342000002001121036"</f>
        <v>26342000002001121036</v>
      </c>
      <c r="L21" s="20"/>
      <c r="M21" s="16"/>
      <c r="N21" s="17" t="s">
        <v>13</v>
      </c>
      <c r="O21" s="11" t="s">
        <v>14</v>
      </c>
    </row>
    <row r="22" spans="1:15" ht="12.75" customHeight="1">
      <c r="A22" s="11" t="s">
        <v>49</v>
      </c>
      <c r="B22" s="12">
        <v>21</v>
      </c>
      <c r="C22" s="29"/>
      <c r="D22" s="13"/>
      <c r="E22" s="12" t="s">
        <v>16</v>
      </c>
      <c r="F22" s="12" t="s">
        <v>29</v>
      </c>
      <c r="G22" s="25"/>
      <c r="H22" s="26"/>
      <c r="I22" s="12">
        <v>920</v>
      </c>
      <c r="J22" s="11"/>
      <c r="K22" s="13" t="str">
        <f>"26342000002002171591"</f>
        <v>26342000002002171591</v>
      </c>
      <c r="L22" s="11"/>
      <c r="M22" s="16"/>
      <c r="N22" s="17" t="s">
        <v>13</v>
      </c>
      <c r="O22" s="11" t="s">
        <v>14</v>
      </c>
    </row>
    <row r="23" spans="1:15">
      <c r="A23" s="11" t="s">
        <v>49</v>
      </c>
      <c r="B23" s="12">
        <v>22</v>
      </c>
      <c r="C23" s="29">
        <v>46158</v>
      </c>
      <c r="D23" s="13"/>
      <c r="E23" s="12" t="s">
        <v>16</v>
      </c>
      <c r="F23" s="12" t="s">
        <v>29</v>
      </c>
      <c r="G23" s="25"/>
      <c r="H23" s="26"/>
      <c r="I23" s="12">
        <v>39.83</v>
      </c>
      <c r="J23" s="11"/>
      <c r="K23" s="13" t="str">
        <f>"26342000002001431176"</f>
        <v>26342000002001431176</v>
      </c>
      <c r="L23" s="11"/>
      <c r="M23" s="16"/>
      <c r="N23" s="17" t="s">
        <v>13</v>
      </c>
      <c r="O23" s="11" t="s">
        <v>14</v>
      </c>
    </row>
    <row r="24" spans="1:15">
      <c r="A24" s="11" t="s">
        <v>49</v>
      </c>
      <c r="B24" s="12">
        <v>23</v>
      </c>
      <c r="C24" s="29"/>
      <c r="D24" s="13"/>
      <c r="E24" s="12" t="s">
        <v>16</v>
      </c>
      <c r="F24" s="12" t="s">
        <v>29</v>
      </c>
      <c r="G24" s="25"/>
      <c r="H24" s="26"/>
      <c r="I24" s="12">
        <v>13.62</v>
      </c>
      <c r="J24" s="11"/>
      <c r="K24" s="13" t="str">
        <f>"26342000002002159006"</f>
        <v>26342000002002159006</v>
      </c>
      <c r="L24" s="11"/>
      <c r="M24" s="16"/>
      <c r="N24" s="17" t="s">
        <v>13</v>
      </c>
      <c r="O24" s="11" t="s">
        <v>14</v>
      </c>
    </row>
    <row r="25" spans="1:15">
      <c r="A25" s="11" t="s">
        <v>49</v>
      </c>
      <c r="B25" s="12">
        <v>24</v>
      </c>
      <c r="C25" s="29"/>
      <c r="D25" s="13"/>
      <c r="E25" s="12" t="s">
        <v>16</v>
      </c>
      <c r="F25" s="12" t="s">
        <v>29</v>
      </c>
      <c r="G25" s="25"/>
      <c r="H25" s="26"/>
      <c r="I25" s="12">
        <v>31.3</v>
      </c>
      <c r="J25" s="11"/>
      <c r="K25" s="13" t="str">
        <f>"26342000002001678496"</f>
        <v>26342000002001678496</v>
      </c>
      <c r="L25" s="11"/>
      <c r="M25" s="16"/>
      <c r="N25" s="17" t="s">
        <v>13</v>
      </c>
      <c r="O25" s="11" t="s">
        <v>14</v>
      </c>
    </row>
    <row r="26" spans="1:15">
      <c r="A26" s="11" t="s">
        <v>49</v>
      </c>
      <c r="B26" s="12">
        <v>25</v>
      </c>
      <c r="C26" s="29">
        <v>46161</v>
      </c>
      <c r="D26" s="13"/>
      <c r="E26" s="12" t="s">
        <v>16</v>
      </c>
      <c r="F26" s="12" t="s">
        <v>29</v>
      </c>
      <c r="G26" s="25"/>
      <c r="H26" s="26"/>
      <c r="I26" s="12">
        <v>19.170000000000002</v>
      </c>
      <c r="J26" s="11"/>
      <c r="K26" s="13" t="str">
        <f>"26342000002012555956"</f>
        <v>26342000002012555956</v>
      </c>
      <c r="L26" s="11"/>
      <c r="M26" s="16"/>
      <c r="N26" s="17" t="s">
        <v>13</v>
      </c>
      <c r="O26" s="11" t="s">
        <v>14</v>
      </c>
    </row>
    <row r="27" spans="1:15">
      <c r="A27" s="11" t="s">
        <v>49</v>
      </c>
      <c r="B27" s="12">
        <v>26</v>
      </c>
      <c r="C27" s="29">
        <v>46116</v>
      </c>
      <c r="D27" s="13"/>
      <c r="E27" s="12" t="s">
        <v>11</v>
      </c>
      <c r="F27" s="12" t="s">
        <v>43</v>
      </c>
      <c r="G27" s="25"/>
      <c r="H27" s="26"/>
      <c r="I27" s="12">
        <v>14.54</v>
      </c>
      <c r="J27" s="11"/>
      <c r="K27" s="13" t="str">
        <f>"26127000000323688030"</f>
        <v>26127000000323688030</v>
      </c>
      <c r="L27" s="11"/>
      <c r="M27" s="16"/>
      <c r="N27" s="17" t="s">
        <v>13</v>
      </c>
      <c r="O27" s="11" t="s">
        <v>14</v>
      </c>
    </row>
    <row r="28" spans="1:15">
      <c r="A28" s="11" t="s">
        <v>49</v>
      </c>
      <c r="B28" s="12">
        <v>27</v>
      </c>
      <c r="C28" s="29">
        <v>46014</v>
      </c>
      <c r="D28" s="13"/>
      <c r="E28" s="12" t="s">
        <v>11</v>
      </c>
      <c r="F28" s="12" t="s">
        <v>43</v>
      </c>
      <c r="G28" s="25"/>
      <c r="H28" s="26"/>
      <c r="I28" s="12">
        <v>178.5</v>
      </c>
      <c r="J28" s="11"/>
      <c r="K28" s="13" t="str">
        <f>"26337000000614408522"</f>
        <v>26337000000614408522</v>
      </c>
      <c r="L28" s="11"/>
      <c r="M28" s="16"/>
      <c r="N28" s="17" t="s">
        <v>13</v>
      </c>
      <c r="O28" s="11" t="s">
        <v>14</v>
      </c>
    </row>
    <row r="29" spans="1:15">
      <c r="A29" s="11" t="s">
        <v>49</v>
      </c>
      <c r="B29" s="12">
        <v>28</v>
      </c>
      <c r="C29" s="31"/>
      <c r="D29" s="13"/>
      <c r="E29" s="12"/>
      <c r="F29" s="12"/>
      <c r="G29" s="25"/>
      <c r="H29" s="26"/>
      <c r="I29" s="12"/>
      <c r="J29" s="11"/>
      <c r="K29" s="13"/>
      <c r="L29" s="11"/>
      <c r="M29" s="16"/>
      <c r="N29" s="17" t="s">
        <v>13</v>
      </c>
      <c r="O29" s="11" t="s">
        <v>14</v>
      </c>
    </row>
    <row r="30" spans="1:15">
      <c r="A30" s="11" t="s">
        <v>49</v>
      </c>
      <c r="B30" s="12">
        <v>29</v>
      </c>
      <c r="C30" s="31"/>
      <c r="D30" s="13"/>
      <c r="E30" s="12"/>
      <c r="F30" s="12"/>
      <c r="G30" s="25"/>
      <c r="H30" s="26"/>
      <c r="I30" s="12"/>
      <c r="J30" s="11"/>
      <c r="K30" s="13"/>
      <c r="L30" s="11"/>
      <c r="M30" s="16"/>
      <c r="N30" s="17" t="s">
        <v>13</v>
      </c>
      <c r="O30" s="11" t="s">
        <v>14</v>
      </c>
    </row>
    <row r="31" spans="1:15">
      <c r="A31" s="11" t="s">
        <v>49</v>
      </c>
      <c r="B31" s="12">
        <v>30</v>
      </c>
      <c r="C31" s="31"/>
      <c r="D31" s="13"/>
      <c r="E31" s="12"/>
      <c r="F31" s="12"/>
      <c r="G31" s="25"/>
      <c r="H31" s="26"/>
      <c r="I31" s="12"/>
      <c r="J31" s="11"/>
      <c r="K31" s="13"/>
      <c r="L31" s="11"/>
      <c r="M31" s="16"/>
      <c r="N31" s="17" t="s">
        <v>13</v>
      </c>
      <c r="O31" s="11" t="s">
        <v>14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dataValidations count="1">
    <dataValidation type="list" allowBlank="1" showInputMessage="1" showErrorMessage="1" sqref="M2:M1048576" xr:uid="{0526618F-C96D-40FE-80D9-CAD9D01EA82A}">
      <formula1>"是,否"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分类统计!$A$2:$A$11</xm:f>
          </x14:formula1>
          <xm:sqref>E2:E31</xm:sqref>
        </x14:dataValidation>
        <x14:dataValidation type="list" allowBlank="1" showInputMessage="1" showErrorMessage="1" xr:uid="{00000000-0002-0000-0000-000001000000}">
          <x14:formula1>
            <xm:f>分类统计!$C$2:$C$23</xm:f>
          </x14:formula1>
          <xm:sqref>F2:F31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B12" sqref="B12"/>
    </sheetView>
  </sheetViews>
  <sheetFormatPr defaultColWidth="14" defaultRowHeight="13"/>
  <cols>
    <col min="1" max="1" width="22" customWidth="1"/>
    <col min="2" max="2" width="17" customWidth="1"/>
    <col min="3" max="3" width="22" customWidth="1"/>
    <col min="4" max="4" width="17" customWidth="1"/>
    <col min="5" max="20" width="10" customWidth="1"/>
  </cols>
  <sheetData>
    <row r="1" spans="1:4" ht="15.9" customHeight="1">
      <c r="A1" s="1" t="s">
        <v>4</v>
      </c>
      <c r="B1" s="1" t="s">
        <v>15</v>
      </c>
      <c r="C1" s="1" t="s">
        <v>5</v>
      </c>
      <c r="D1" s="1" t="s">
        <v>15</v>
      </c>
    </row>
    <row r="2" spans="1:4" ht="15.9" customHeight="1">
      <c r="A2" s="2" t="s">
        <v>16</v>
      </c>
      <c r="B2" s="3">
        <f>SUMIF(支出流水表!$E$2:$E$1999,分类统计!A2,支出流水表!$J$2:$J$1999)</f>
        <v>0</v>
      </c>
      <c r="C2" s="2" t="s">
        <v>17</v>
      </c>
      <c r="D2" s="3">
        <f>SUMIF(支出流水表!$F$2:$F$1999,分类统计!C2,支出流水表!$J$2:$J$1999)</f>
        <v>0</v>
      </c>
    </row>
    <row r="3" spans="1:4" ht="15.9" customHeight="1">
      <c r="A3" s="2" t="s">
        <v>18</v>
      </c>
      <c r="B3" s="3">
        <f>SUMIF(支出流水表!$E$2:$E$1999,分类统计!A3,支出流水表!$J$2:$J$1999)</f>
        <v>0</v>
      </c>
      <c r="C3" s="2" t="s">
        <v>19</v>
      </c>
      <c r="D3" s="3">
        <f>SUMIF(支出流水表!$F$2:$F$479,分类统计!C3,支出流水表!$J$2:$J$479)</f>
        <v>0</v>
      </c>
    </row>
    <row r="4" spans="1:4" ht="15.9" customHeight="1">
      <c r="A4" s="2" t="s">
        <v>20</v>
      </c>
      <c r="B4" s="3">
        <f>SUMIF(支出流水表!$E$2:$E$1999,分类统计!A4,支出流水表!$J$2:$J$1999)</f>
        <v>0</v>
      </c>
      <c r="C4" s="2" t="s">
        <v>21</v>
      </c>
      <c r="D4" s="3">
        <f>SUMIF(支出流水表!$F$2:$F$479,分类统计!C4,支出流水表!$J$2:$J$479)</f>
        <v>0</v>
      </c>
    </row>
    <row r="5" spans="1:4" ht="15.9" customHeight="1">
      <c r="A5" s="2" t="s">
        <v>22</v>
      </c>
      <c r="B5" s="3">
        <f>SUMIF(支出流水表!$E$2:$E$1999,分类统计!A5,支出流水表!$J$2:$J$1999)</f>
        <v>0</v>
      </c>
      <c r="C5" s="2" t="s">
        <v>23</v>
      </c>
      <c r="D5" s="3">
        <f>SUMIF(支出流水表!$F$2:$F$479,分类统计!C5,支出流水表!$J$2:$J$479)</f>
        <v>0</v>
      </c>
    </row>
    <row r="6" spans="1:4" ht="15.9" customHeight="1">
      <c r="A6" s="2" t="s">
        <v>24</v>
      </c>
      <c r="B6" s="3">
        <f>SUMIF(支出流水表!$E$2:$E$1999,分类统计!A6,支出流水表!$J$2:$J$1999)</f>
        <v>0</v>
      </c>
      <c r="C6" s="2" t="s">
        <v>25</v>
      </c>
      <c r="D6" s="3">
        <f>SUMIF(支出流水表!$F$2:$F$479,分类统计!C6,支出流水表!$J$2:$J$479)</f>
        <v>0</v>
      </c>
    </row>
    <row r="7" spans="1:4" ht="15.9" customHeight="1">
      <c r="A7" s="2" t="s">
        <v>26</v>
      </c>
      <c r="B7" s="3">
        <f>SUMIF(支出流水表!$E$2:$E$1999,分类统计!A7,支出流水表!$J$2:$J$1999)</f>
        <v>0</v>
      </c>
      <c r="C7" s="2" t="s">
        <v>27</v>
      </c>
      <c r="D7" s="3">
        <f>SUMIF(支出流水表!$F$2:$F$479,分类统计!C7,支出流水表!$J$2:$J$479)</f>
        <v>0</v>
      </c>
    </row>
    <row r="8" spans="1:4" ht="15.9" customHeight="1">
      <c r="A8" s="2" t="s">
        <v>28</v>
      </c>
      <c r="B8" s="3">
        <f>SUMIF(支出流水表!$E$2:$E$1999,分类统计!A8,支出流水表!$J$2:$J$1999)</f>
        <v>0</v>
      </c>
      <c r="C8" s="2" t="s">
        <v>29</v>
      </c>
      <c r="D8" s="3">
        <f>SUMIF(支出流水表!$F$2:$F$479,分类统计!C8,支出流水表!$J$2:$J$479)</f>
        <v>0</v>
      </c>
    </row>
    <row r="9" spans="1:4" ht="15.9" customHeight="1">
      <c r="A9" s="2" t="s">
        <v>30</v>
      </c>
      <c r="B9" s="3">
        <f>SUMIF(支出流水表!$E$2:$E$1999,分类统计!A9,支出流水表!$J$2:$J$1999)</f>
        <v>0</v>
      </c>
      <c r="C9" s="2" t="s">
        <v>31</v>
      </c>
      <c r="D9" s="3">
        <f>SUMIF(支出流水表!$F$2:$F$479,分类统计!C9,支出流水表!$J$2:$J$479)</f>
        <v>0</v>
      </c>
    </row>
    <row r="10" spans="1:4" ht="15.9" customHeight="1">
      <c r="A10" s="2" t="s">
        <v>11</v>
      </c>
      <c r="B10" s="3">
        <f>SUMIF(支出流水表!$E$2:$E$1999,分类统计!A10,支出流水表!$J$2:$J$1999)</f>
        <v>0</v>
      </c>
      <c r="C10" s="2" t="s">
        <v>32</v>
      </c>
      <c r="D10" s="3">
        <f>SUMIF(支出流水表!$F$2:$F$479,分类统计!C10,支出流水表!$J$2:$J$479)</f>
        <v>0</v>
      </c>
    </row>
    <row r="11" spans="1:4" ht="15.9" customHeight="1">
      <c r="A11" s="2" t="s">
        <v>33</v>
      </c>
      <c r="B11" s="3">
        <f>SUMIF(支出流水表!$E$2:$E$1999,分类统计!A11,支出流水表!$J$2:$J$1999)</f>
        <v>0</v>
      </c>
      <c r="C11" s="2" t="s">
        <v>34</v>
      </c>
      <c r="D11" s="3">
        <f>SUMIF(支出流水表!$F$2:$F$479,分类统计!C11,支出流水表!$J$2:$J$479)</f>
        <v>0</v>
      </c>
    </row>
    <row r="12" spans="1:4" ht="15.9" customHeight="1">
      <c r="A12" s="2" t="s">
        <v>15</v>
      </c>
      <c r="B12" s="3">
        <f>SUM(B2:B11)</f>
        <v>0</v>
      </c>
      <c r="C12" s="2" t="s">
        <v>35</v>
      </c>
      <c r="D12" s="3">
        <f>SUMIF(支出流水表!$F$2:$F$479,分类统计!C12,支出流水表!$J$2:$J$479)</f>
        <v>0</v>
      </c>
    </row>
    <row r="13" spans="1:4" ht="15.9" customHeight="1">
      <c r="C13" s="2" t="s">
        <v>36</v>
      </c>
      <c r="D13" s="3">
        <f>SUMIF(支出流水表!$F$2:$F$479,分类统计!C13,支出流水表!$J$2:$J$479)</f>
        <v>0</v>
      </c>
    </row>
    <row r="14" spans="1:4" ht="15.9" customHeight="1">
      <c r="C14" s="2" t="s">
        <v>37</v>
      </c>
      <c r="D14" s="3">
        <f>SUMIF(支出流水表!$F$2:$F$479,分类统计!C14,支出流水表!$J$2:$J$479)</f>
        <v>0</v>
      </c>
    </row>
    <row r="15" spans="1:4" ht="15.9" customHeight="1">
      <c r="C15" s="2" t="s">
        <v>38</v>
      </c>
      <c r="D15" s="3">
        <f>SUMIF(支出流水表!$F$2:$F$479,分类统计!C15,支出流水表!$J$2:$J$479)</f>
        <v>0</v>
      </c>
    </row>
    <row r="16" spans="1:4" ht="15.9" customHeight="1">
      <c r="C16" s="2" t="s">
        <v>39</v>
      </c>
      <c r="D16" s="3">
        <f>SUMIF(支出流水表!$F$2:$F$479,分类统计!C16,支出流水表!$J$2:$J$479)</f>
        <v>0</v>
      </c>
    </row>
    <row r="17" spans="3:4" ht="15.9" customHeight="1">
      <c r="C17" s="2" t="s">
        <v>40</v>
      </c>
      <c r="D17" s="3">
        <f>SUMIF(支出流水表!$F$2:$F$479,分类统计!C17,支出流水表!$J$2:$J$479)</f>
        <v>0</v>
      </c>
    </row>
    <row r="18" spans="3:4" ht="15.9" customHeight="1">
      <c r="C18" s="2" t="s">
        <v>41</v>
      </c>
      <c r="D18" s="3">
        <f>SUMIF(支出流水表!$F$2:$F$479,分类统计!C18,支出流水表!$J$2:$J$479)</f>
        <v>0</v>
      </c>
    </row>
    <row r="19" spans="3:4" ht="15.9" customHeight="1">
      <c r="C19" s="2" t="s">
        <v>42</v>
      </c>
      <c r="D19" s="3">
        <f>SUMIF(支出流水表!$F$2:$F$479,分类统计!C19,支出流水表!$J$2:$J$479)</f>
        <v>0</v>
      </c>
    </row>
    <row r="20" spans="3:4" ht="15.9" customHeight="1">
      <c r="C20" s="2" t="s">
        <v>43</v>
      </c>
      <c r="D20" s="3">
        <f>SUMIF(支出流水表!$F$2:$F$479,分类统计!C20,支出流水表!$J$2:$J$479)</f>
        <v>0</v>
      </c>
    </row>
    <row r="21" spans="3:4" ht="14">
      <c r="C21" s="2" t="s">
        <v>12</v>
      </c>
      <c r="D21" s="3">
        <f>SUMIF(支出流水表!$F$2:$F$479,分类统计!C21,支出流水表!$J$2:$J$479)</f>
        <v>0</v>
      </c>
    </row>
    <row r="22" spans="3:4" ht="14">
      <c r="C22" s="2" t="s">
        <v>44</v>
      </c>
      <c r="D22" s="3">
        <f>SUMIF(支出流水表!$F$2:$F$479,分类统计!C22,支出流水表!$J$2:$J$479)</f>
        <v>0</v>
      </c>
    </row>
    <row r="23" spans="3:4" ht="14">
      <c r="C23" s="2" t="s">
        <v>45</v>
      </c>
      <c r="D23" s="3">
        <f>SUMIF(支出流水表!$F$2:$F$479,分类统计!C23,支出流水表!$J$2:$J$479)</f>
        <v>0</v>
      </c>
    </row>
    <row r="24" spans="3:4" ht="14">
      <c r="C24" s="2" t="s">
        <v>15</v>
      </c>
      <c r="D24" s="2">
        <f>SUM(D2:D23)</f>
        <v>0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支出流水表</vt:lpstr>
      <vt:lpstr>分类统计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高凯</dc:creator>
  <cp:lastModifiedBy>Yihao Zeng</cp:lastModifiedBy>
  <dcterms:created xsi:type="dcterms:W3CDTF">2023-03-24T17:48:00Z</dcterms:created>
  <dcterms:modified xsi:type="dcterms:W3CDTF">2026-06-28T18:45:20Z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